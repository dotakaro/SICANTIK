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15600" windowHeight="7935" activeTab="2"/>
  </bookViews>
  <sheets>
    <sheet name="depan" sheetId="9" r:id="rId1"/>
    <sheet name="Rekap1" sheetId="11" r:id="rId2"/>
    <sheet name="SKPD" sheetId="12" r:id="rId3"/>
  </sheets>
  <externalReferences>
    <externalReference r:id="rId4"/>
  </externalReferences>
  <definedNames>
    <definedName name="_xlnm.Print_Area" localSheetId="0">depan!$A$1:$J$46</definedName>
    <definedName name="_xlnm.Print_Area" localSheetId="1">Rekap1!$A$1:$L$18</definedName>
    <definedName name="_xlnm.Print_Area" localSheetId="2">SKPD!$A$1:$U$42</definedName>
    <definedName name="_xlnm.Print_Titles" localSheetId="1">Rekap1!$4:$4</definedName>
  </definedNames>
  <calcPr calcId="124519"/>
</workbook>
</file>

<file path=xl/calcChain.xml><?xml version="1.0" encoding="utf-8"?>
<calcChain xmlns="http://schemas.openxmlformats.org/spreadsheetml/2006/main">
  <c r="H14" i="12"/>
  <c r="F9"/>
  <c r="F8"/>
  <c r="T19"/>
  <c r="T18"/>
  <c r="T17"/>
  <c r="T16"/>
  <c r="T15"/>
  <c r="E14"/>
  <c r="K6" i="11" l="1"/>
  <c r="J6"/>
  <c r="F6"/>
  <c r="E6"/>
  <c r="D6"/>
  <c r="C6"/>
  <c r="B6"/>
  <c r="T20" i="12"/>
  <c r="D23"/>
</calcChain>
</file>

<file path=xl/sharedStrings.xml><?xml version="1.0" encoding="utf-8"?>
<sst xmlns="http://schemas.openxmlformats.org/spreadsheetml/2006/main" count="108" uniqueCount="63">
  <si>
    <t>:</t>
  </si>
  <si>
    <t>KEDUA</t>
  </si>
  <si>
    <t>KETIGA</t>
  </si>
  <si>
    <t>KEEMPAT</t>
  </si>
  <si>
    <t>Nama Pemohon</t>
  </si>
  <si>
    <t>Jenis Reklame</t>
  </si>
  <si>
    <t>Lokasi Pemasangan</t>
  </si>
  <si>
    <t>Masa Berlaku</t>
  </si>
  <si>
    <t>PEMERINTAH KABUPATEN KARO</t>
  </si>
  <si>
    <t>KABANJAHE – 22113</t>
  </si>
  <si>
    <t xml:space="preserve">Dikeluarkan di </t>
  </si>
  <si>
    <t>Nama Pemohon/ Perusahaan</t>
  </si>
  <si>
    <t>Alamat Pemohon/ Perusahaan</t>
  </si>
  <si>
    <t>Ukuran Reklame</t>
  </si>
  <si>
    <t>Jumlah Reklame</t>
  </si>
  <si>
    <t>Judul Reklame</t>
  </si>
  <si>
    <t>KESATU</t>
  </si>
  <si>
    <t>JLN. JAMIN GINTING NO : 17 TELP. (0628) 324655</t>
  </si>
  <si>
    <t>pada tanggal</t>
  </si>
  <si>
    <t xml:space="preserve"> </t>
  </si>
  <si>
    <t>DINAS PENANAMAN MODAL DAN PELAYANAN PERIZINAN TERPADU SATU PINTU</t>
  </si>
  <si>
    <t>NOMOR : 510.12/              /REK/DPM-PPTSP/2017</t>
  </si>
  <si>
    <t>PERIZINAN TERPADU SATU PINTU KABUPATEN KARO</t>
  </si>
  <si>
    <t>SUSY ISWARA BANGUN, SE., M.Si</t>
  </si>
  <si>
    <t>NIP. 19660505 199303 2 003</t>
  </si>
  <si>
    <t xml:space="preserve">KEPALA DINAS PENANAMAN MODAL DAN PELAYANAN </t>
  </si>
  <si>
    <t>Kabanjahe</t>
  </si>
  <si>
    <t>Pembina Utama Muda</t>
  </si>
  <si>
    <t>Alamat Pemohon</t>
  </si>
  <si>
    <t>No. SK</t>
  </si>
  <si>
    <t>Tanggal SK</t>
  </si>
  <si>
    <t>Pajak</t>
  </si>
  <si>
    <t>No.</t>
  </si>
  <si>
    <t>DAFTAR PENERBITAN IZIN REKLAME</t>
  </si>
  <si>
    <t>BULAN FEBRUARI TAHUN 2017</t>
  </si>
  <si>
    <t>510.12/</t>
  </si>
  <si>
    <t>REK/DPM-PPTSP/TAHUN 2017</t>
  </si>
  <si>
    <t>IZIN PEMASANGAN REKLAME</t>
  </si>
  <si>
    <t>Sipemegang Izin Reklame supaya melunaskan Pajak Pemasangan Reklame dimaksud ke Kas Daerah Kabupaten Karo.</t>
  </si>
  <si>
    <t>Sipemegang Izin Reklame ini supaya tetap memegang keutuhan Reklame dimaksud sehingga warna dan tulisannya tetap dalam keadaan baik, dan apabila Reklame dimaksud tumbang dan atau jatuh, maka segala resiko yang ditimbulkan kepada keselamatan Manusia atau barang sepenuhnya menjadi tanggungjawab sipemilik reklame.</t>
  </si>
  <si>
    <t>Izin Pemasangan Reklame dapat diperpanjang Izinnya sesuai dengan ketentuan yang berlaku, dan apabila tidak diperpanjang maka sipemegang Izin Reklame wajib membongkar Reklame dimaksud.</t>
  </si>
  <si>
    <t xml:space="preserve">Izin Pemasangan Reklame ini berlaku sejak tanggal ditetapkan dengan ketentuan akan diubah dan diperbaiki kembali sebagaimana mestinya apabila dikemudian hari terdapat kekeliruan didalamnya. </t>
  </si>
  <si>
    <t>IZIN PEMASANGAN REKLAME INI DITERBITKAN DENGAN KETENTUAN :</t>
  </si>
  <si>
    <t>NEON BOX</t>
  </si>
  <si>
    <t>INDOMARET</t>
  </si>
  <si>
    <t>1 (satu) unit</t>
  </si>
  <si>
    <t>1,90 m x 0.90 m x 2 sisi</t>
  </si>
  <si>
    <t>22 Maret 2017 s.d 21 Maret 2018</t>
  </si>
  <si>
    <t>Jl. Besar Kotacane Kel. Tiga Binanga Kec. Tiga Binanga Kab. Karo</t>
  </si>
  <si>
    <t>DINDIN MAHMUDIN</t>
  </si>
  <si>
    <t>Pakuan Regency Subang Larang Blok C.8/22 Kel. Balubang Jaya Kota Bogor Barat</t>
  </si>
  <si>
    <t xml:space="preserve">         4.1.1.04.01</t>
  </si>
  <si>
    <t>Pembayaran Pajak Reklame ShopSign/Papan Nama Toko (ASUS)  yang terletak di Jalan Selamat Ketaren Komplek L.R Munthe Blok A No.4 Kabanjahe, sebagai berikut:</t>
  </si>
  <si>
    <t>X</t>
  </si>
  <si>
    <t>x</t>
  </si>
  <si>
    <t>………..</t>
  </si>
  <si>
    <t>PAJAK REKLAME</t>
  </si>
  <si>
    <t>2017</t>
  </si>
  <si>
    <t>Kabid Pelayanan Terpadu Satu Pintu</t>
  </si>
  <si>
    <t>UNGGUL, SE</t>
  </si>
  <si>
    <t>NIP. 19611208 199303 1 001</t>
  </si>
  <si>
    <t>ALVA XARISMA PURBA, A.Md</t>
  </si>
  <si>
    <t>NIP. 19770101 200502 1 003</t>
  </si>
</sst>
</file>

<file path=xl/styles.xml><?xml version="1.0" encoding="utf-8"?>
<styleSheet xmlns="http://schemas.openxmlformats.org/spreadsheetml/2006/main">
  <numFmts count="5">
    <numFmt numFmtId="41" formatCode="_(* #,##0_);_(* \(#,##0\);_(* &quot;-&quot;_);_(@_)"/>
    <numFmt numFmtId="43" formatCode="_(* #,##0.00_);_(* \(#,##0.00\);_(* &quot;-&quot;??_);_(@_)"/>
    <numFmt numFmtId="164" formatCode="_(&quot;Rp&quot;* #,##0_);_(&quot;Rp&quot;* \(#,##0\);_(&quot;Rp&quot;* &quot;-&quot;_);_(@_)"/>
    <numFmt numFmtId="165" formatCode="_(* #,##0.00_);_(* \(#,##0.00\);_(* &quot;-&quot;_);_(@_)"/>
    <numFmt numFmtId="166" formatCode="_(* #,##0_);_(* \(#,##0\);_(* &quot;-&quot;??_);_(@_)"/>
  </numFmts>
  <fonts count="19">
    <font>
      <sz val="11"/>
      <color theme="1"/>
      <name val="Calibri"/>
      <family val="2"/>
      <charset val="1"/>
      <scheme val="minor"/>
    </font>
    <font>
      <sz val="11"/>
      <color theme="1"/>
      <name val="Calibri"/>
      <family val="2"/>
      <scheme val="minor"/>
    </font>
    <font>
      <sz val="11"/>
      <color theme="1"/>
      <name val="Calibri"/>
      <family val="2"/>
      <scheme val="minor"/>
    </font>
    <font>
      <sz val="12"/>
      <color theme="1"/>
      <name val="Calibri"/>
      <family val="2"/>
      <charset val="1"/>
      <scheme val="minor"/>
    </font>
    <font>
      <b/>
      <sz val="16"/>
      <color theme="1"/>
      <name val="Times New Roman"/>
      <family val="1"/>
    </font>
    <font>
      <b/>
      <sz val="14"/>
      <color theme="1"/>
      <name val="Times New Roman"/>
      <family val="1"/>
    </font>
    <font>
      <b/>
      <sz val="12"/>
      <color theme="1"/>
      <name val="Calibri"/>
      <family val="2"/>
      <scheme val="minor"/>
    </font>
    <font>
      <sz val="12"/>
      <color theme="1"/>
      <name val="Calibri"/>
      <family val="2"/>
      <scheme val="minor"/>
    </font>
    <font>
      <b/>
      <sz val="14"/>
      <color theme="1"/>
      <name val="Calibri"/>
      <family val="2"/>
      <scheme val="minor"/>
    </font>
    <font>
      <b/>
      <sz val="12"/>
      <color theme="1"/>
      <name val="Times New Roman"/>
      <family val="1"/>
    </font>
    <font>
      <b/>
      <sz val="20"/>
      <color theme="1"/>
      <name val="Calibri"/>
      <family val="2"/>
      <scheme val="minor"/>
    </font>
    <font>
      <b/>
      <sz val="18"/>
      <color theme="1"/>
      <name val="Calibri"/>
      <family val="2"/>
      <scheme val="minor"/>
    </font>
    <font>
      <sz val="14"/>
      <color theme="1"/>
      <name val="Calibri"/>
      <family val="2"/>
      <charset val="1"/>
      <scheme val="minor"/>
    </font>
    <font>
      <sz val="11"/>
      <color theme="1"/>
      <name val="Calibri"/>
      <family val="2"/>
      <charset val="1"/>
      <scheme val="minor"/>
    </font>
    <font>
      <b/>
      <sz val="11"/>
      <color theme="1"/>
      <name val="Calibri"/>
      <family val="2"/>
      <scheme val="minor"/>
    </font>
    <font>
      <b/>
      <i/>
      <sz val="11"/>
      <color theme="1"/>
      <name val="Calibri"/>
      <family val="2"/>
      <scheme val="minor"/>
    </font>
    <font>
      <b/>
      <sz val="11"/>
      <color theme="0"/>
      <name val="Calibri"/>
      <family val="2"/>
      <scheme val="minor"/>
    </font>
    <font>
      <b/>
      <sz val="10"/>
      <color theme="1"/>
      <name val="Calibri"/>
      <family val="2"/>
      <scheme val="minor"/>
    </font>
    <font>
      <b/>
      <sz val="11"/>
      <name val="Calibri"/>
      <family val="2"/>
      <scheme val="minor"/>
    </font>
  </fonts>
  <fills count="2">
    <fill>
      <patternFill patternType="none"/>
    </fill>
    <fill>
      <patternFill patternType="gray125"/>
    </fill>
  </fills>
  <borders count="9">
    <border>
      <left/>
      <right/>
      <top/>
      <bottom/>
      <diagonal/>
    </border>
    <border>
      <left/>
      <right/>
      <top style="medium">
        <color indexed="64"/>
      </top>
      <bottom style="thick">
        <color indexed="64"/>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5">
    <xf numFmtId="0" fontId="0" fillId="0" borderId="0"/>
    <xf numFmtId="0" fontId="2" fillId="0" borderId="0"/>
    <xf numFmtId="0" fontId="13" fillId="0" borderId="0"/>
    <xf numFmtId="41" fontId="1" fillId="0" borderId="0" applyFont="0" applyFill="0" applyBorder="0" applyAlignment="0" applyProtection="0"/>
    <xf numFmtId="43" fontId="13" fillId="0" borderId="0" applyFont="0" applyFill="0" applyBorder="0" applyAlignment="0" applyProtection="0"/>
  </cellStyleXfs>
  <cellXfs count="85">
    <xf numFmtId="0" fontId="0" fillId="0" borderId="0" xfId="0"/>
    <xf numFmtId="0" fontId="0" fillId="0" borderId="0" xfId="0" applyAlignment="1">
      <alignment wrapText="1"/>
    </xf>
    <xf numFmtId="0" fontId="2" fillId="0" borderId="0" xfId="1"/>
    <xf numFmtId="0" fontId="7" fillId="0" borderId="0" xfId="1" applyFont="1"/>
    <xf numFmtId="0" fontId="6" fillId="0" borderId="0" xfId="1" applyFont="1"/>
    <xf numFmtId="0" fontId="6" fillId="0" borderId="0" xfId="1" applyFont="1" applyAlignment="1"/>
    <xf numFmtId="0" fontId="7" fillId="0" borderId="0" xfId="1" applyFont="1" applyAlignment="1">
      <alignment horizontal="left"/>
    </xf>
    <xf numFmtId="0" fontId="7" fillId="0" borderId="0" xfId="1" applyFont="1" applyAlignment="1">
      <alignment vertical="center"/>
    </xf>
    <xf numFmtId="0" fontId="7" fillId="0" borderId="0" xfId="1" applyFont="1" applyAlignment="1">
      <alignment horizontal="left" vertical="center"/>
    </xf>
    <xf numFmtId="0" fontId="7" fillId="0" borderId="0" xfId="1" applyFont="1" applyBorder="1" applyAlignment="1">
      <alignment vertical="center"/>
    </xf>
    <xf numFmtId="0" fontId="6" fillId="0" borderId="0" xfId="1" applyFont="1" applyAlignment="1">
      <alignment vertical="top"/>
    </xf>
    <xf numFmtId="0" fontId="7" fillId="0" borderId="0" xfId="0" applyFont="1" applyAlignment="1">
      <alignment horizontal="left" vertical="center"/>
    </xf>
    <xf numFmtId="0" fontId="6" fillId="0" borderId="0" xfId="1" applyFont="1" applyAlignment="1">
      <alignment vertical="center"/>
    </xf>
    <xf numFmtId="0" fontId="6" fillId="0" borderId="0" xfId="1" applyFont="1" applyAlignment="1">
      <alignment horizontal="center"/>
    </xf>
    <xf numFmtId="0" fontId="7" fillId="0" borderId="0" xfId="1" applyFont="1" applyAlignment="1">
      <alignment horizontal="left" vertical="top"/>
    </xf>
    <xf numFmtId="0" fontId="7" fillId="0" borderId="0" xfId="0" applyFont="1" applyAlignment="1">
      <alignment horizontal="left" vertical="center"/>
    </xf>
    <xf numFmtId="0" fontId="1" fillId="0" borderId="0" xfId="1" applyFont="1"/>
    <xf numFmtId="0" fontId="7" fillId="0" borderId="0" xfId="1" applyFont="1" applyAlignment="1">
      <alignment horizontal="center" vertical="center"/>
    </xf>
    <xf numFmtId="0" fontId="6" fillId="0" borderId="0" xfId="1" applyFont="1" applyAlignment="1">
      <alignment horizontal="center" vertical="center"/>
    </xf>
    <xf numFmtId="0" fontId="7" fillId="0" borderId="0" xfId="0" applyFont="1" applyAlignment="1">
      <alignment horizontal="left" vertical="top"/>
    </xf>
    <xf numFmtId="0" fontId="8" fillId="0" borderId="2" xfId="0" applyFont="1" applyBorder="1" applyAlignment="1">
      <alignment horizontal="center" vertical="top" wrapText="1"/>
    </xf>
    <xf numFmtId="0" fontId="8" fillId="0" borderId="3" xfId="0" applyFont="1" applyBorder="1" applyAlignment="1">
      <alignment horizontal="center" vertical="top" wrapText="1"/>
    </xf>
    <xf numFmtId="0" fontId="12" fillId="0" borderId="0" xfId="0" applyFont="1" applyAlignment="1">
      <alignment horizontal="center"/>
    </xf>
    <xf numFmtId="0" fontId="12" fillId="0" borderId="0" xfId="0" applyFont="1" applyAlignment="1">
      <alignment horizontal="right"/>
    </xf>
    <xf numFmtId="0" fontId="3" fillId="0" borderId="4" xfId="0" applyFont="1" applyBorder="1" applyAlignment="1">
      <alignment horizontal="left" vertical="top" wrapText="1"/>
    </xf>
    <xf numFmtId="0" fontId="3" fillId="0" borderId="5" xfId="0" quotePrefix="1" applyFont="1" applyBorder="1" applyAlignment="1">
      <alignment horizontal="left" vertical="top" wrapText="1"/>
    </xf>
    <xf numFmtId="0" fontId="3" fillId="0" borderId="6" xfId="0" applyFont="1" applyBorder="1" applyAlignment="1">
      <alignment vertical="top" wrapText="1"/>
    </xf>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left"/>
    </xf>
    <xf numFmtId="0" fontId="0" fillId="0" borderId="0" xfId="0" applyAlignment="1">
      <alignment horizontal="right" vertical="top"/>
    </xf>
    <xf numFmtId="0" fontId="0" fillId="0" borderId="0" xfId="0" applyAlignment="1">
      <alignment vertical="top"/>
    </xf>
    <xf numFmtId="0" fontId="0" fillId="0" borderId="0" xfId="0" applyAlignment="1">
      <alignment horizontal="right"/>
    </xf>
    <xf numFmtId="0" fontId="0" fillId="0" borderId="0" xfId="0" applyAlignment="1">
      <alignment horizontal="left" vertical="top" wrapText="1"/>
    </xf>
    <xf numFmtId="0" fontId="0" fillId="0" borderId="0" xfId="0" applyAlignment="1">
      <alignment horizontal="right" vertical="top"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7" fillId="0" borderId="0" xfId="0" applyFont="1" applyAlignment="1">
      <alignment horizontal="left" vertical="top"/>
    </xf>
    <xf numFmtId="0" fontId="14" fillId="0" borderId="0" xfId="2" applyFont="1"/>
    <xf numFmtId="0" fontId="14" fillId="0" borderId="0" xfId="2" applyFont="1" applyAlignment="1">
      <alignment vertical="top"/>
    </xf>
    <xf numFmtId="0" fontId="15" fillId="0" borderId="0" xfId="2" applyFont="1" applyAlignment="1">
      <alignment vertical="top"/>
    </xf>
    <xf numFmtId="0" fontId="16" fillId="0" borderId="0" xfId="2" applyFont="1" applyAlignment="1">
      <alignment vertical="top" wrapText="1"/>
    </xf>
    <xf numFmtId="0" fontId="14" fillId="0" borderId="0" xfId="2" applyFont="1" applyAlignment="1">
      <alignment vertical="top" wrapText="1"/>
    </xf>
    <xf numFmtId="0" fontId="14" fillId="0" borderId="0" xfId="2" applyFont="1" applyAlignment="1">
      <alignment horizontal="center" vertical="center"/>
    </xf>
    <xf numFmtId="165" fontId="17" fillId="0" borderId="0" xfId="3" applyNumberFormat="1" applyFont="1" applyAlignment="1">
      <alignment horizontal="center" vertical="center"/>
    </xf>
    <xf numFmtId="166" fontId="17" fillId="0" borderId="0" xfId="4" applyNumberFormat="1" applyFont="1" applyAlignment="1">
      <alignment horizontal="center" vertical="center"/>
    </xf>
    <xf numFmtId="41" fontId="17" fillId="0" borderId="0" xfId="3" applyNumberFormat="1" applyFont="1" applyAlignment="1">
      <alignment horizontal="center" vertical="center"/>
    </xf>
    <xf numFmtId="0" fontId="17" fillId="0" borderId="0" xfId="2" applyFont="1" applyAlignment="1">
      <alignment horizontal="center" vertical="center"/>
    </xf>
    <xf numFmtId="41" fontId="17" fillId="0" borderId="0" xfId="3" applyFont="1" applyAlignment="1">
      <alignment horizontal="center" vertical="center"/>
    </xf>
    <xf numFmtId="2" fontId="17" fillId="0" borderId="0" xfId="2" applyNumberFormat="1" applyFont="1" applyAlignment="1">
      <alignment horizontal="center" vertical="center"/>
    </xf>
    <xf numFmtId="0" fontId="17" fillId="0" borderId="0" xfId="2" applyFont="1" applyBorder="1" applyAlignment="1">
      <alignment horizontal="center" vertical="center"/>
    </xf>
    <xf numFmtId="41" fontId="17" fillId="0" borderId="0" xfId="3" applyNumberFormat="1" applyFont="1" applyBorder="1" applyAlignment="1">
      <alignment horizontal="center" vertical="center"/>
    </xf>
    <xf numFmtId="164" fontId="1" fillId="0" borderId="0" xfId="3" applyNumberFormat="1" applyFont="1" applyAlignment="1">
      <alignment horizontal="center" vertical="center"/>
    </xf>
    <xf numFmtId="41" fontId="14" fillId="0" borderId="0" xfId="3" applyFont="1" applyAlignment="1">
      <alignment horizontal="center" vertical="center"/>
    </xf>
    <xf numFmtId="41" fontId="18" fillId="0" borderId="0" xfId="3" applyFont="1" applyAlignment="1">
      <alignment vertical="center" wrapText="1"/>
    </xf>
    <xf numFmtId="164" fontId="14" fillId="0" borderId="0" xfId="3" applyNumberFormat="1" applyFont="1" applyBorder="1" applyAlignment="1">
      <alignment horizontal="center" vertical="center"/>
    </xf>
    <xf numFmtId="41" fontId="18" fillId="0" borderId="0" xfId="3" applyFont="1" applyBorder="1" applyAlignment="1">
      <alignment vertical="center" wrapText="1"/>
    </xf>
    <xf numFmtId="0" fontId="18" fillId="0" borderId="0" xfId="2" applyFont="1" applyAlignment="1">
      <alignment vertical="center" wrapText="1"/>
    </xf>
    <xf numFmtId="0" fontId="14" fillId="0" borderId="0" xfId="2" applyFont="1" applyAlignment="1">
      <alignment horizontal="center"/>
    </xf>
    <xf numFmtId="0" fontId="14" fillId="0" borderId="0" xfId="2" applyFont="1" applyAlignment="1"/>
    <xf numFmtId="0" fontId="6" fillId="0" borderId="0" xfId="2" applyFont="1" applyAlignment="1"/>
    <xf numFmtId="0" fontId="7" fillId="0" borderId="0" xfId="0" applyFont="1" applyAlignment="1">
      <alignment horizontal="left" vertical="center"/>
    </xf>
    <xf numFmtId="0" fontId="7" fillId="0" borderId="0" xfId="0" applyFont="1" applyAlignment="1">
      <alignment horizontal="left" vertical="top"/>
    </xf>
    <xf numFmtId="0" fontId="6" fillId="0" borderId="0" xfId="1" applyFont="1" applyAlignment="1">
      <alignment horizontal="left" vertical="center" wrapText="1"/>
    </xf>
    <xf numFmtId="0" fontId="7" fillId="0" borderId="0" xfId="1" applyFont="1" applyAlignment="1">
      <alignment horizontal="left" vertical="center" wrapText="1"/>
    </xf>
    <xf numFmtId="0" fontId="7" fillId="0" borderId="0" xfId="1" applyFont="1" applyAlignment="1">
      <alignment horizontal="justify" vertical="top" wrapText="1"/>
    </xf>
    <xf numFmtId="0" fontId="6" fillId="0" borderId="1" xfId="1" applyFont="1" applyBorder="1" applyAlignment="1">
      <alignment horizontal="center"/>
    </xf>
    <xf numFmtId="0" fontId="8" fillId="0" borderId="0" xfId="1" applyFont="1" applyAlignment="1">
      <alignment horizontal="center"/>
    </xf>
    <xf numFmtId="0" fontId="2" fillId="0" borderId="0" xfId="1" applyAlignment="1">
      <alignment horizontal="center"/>
    </xf>
    <xf numFmtId="0" fontId="5" fillId="0" borderId="0" xfId="0" applyFont="1" applyAlignment="1">
      <alignment horizontal="center" vertical="center"/>
    </xf>
    <xf numFmtId="0" fontId="9" fillId="0" borderId="0" xfId="0" applyFont="1" applyAlignment="1">
      <alignment horizontal="center" vertical="center"/>
    </xf>
    <xf numFmtId="0" fontId="4" fillId="0" borderId="0" xfId="0" applyFont="1" applyAlignment="1">
      <alignment horizontal="center" vertical="center" wrapText="1"/>
    </xf>
    <xf numFmtId="0" fontId="7" fillId="0" borderId="0" xfId="0" applyFont="1" applyAlignment="1">
      <alignment horizontal="justify" vertical="top" wrapText="1"/>
    </xf>
    <xf numFmtId="0" fontId="6" fillId="0" borderId="0" xfId="1" applyFont="1" applyAlignment="1">
      <alignment horizontal="center" vertical="center"/>
    </xf>
    <xf numFmtId="0" fontId="6" fillId="0" borderId="0" xfId="1" applyFont="1" applyAlignment="1">
      <alignment horizontal="center" vertical="center" wrapText="1"/>
    </xf>
    <xf numFmtId="0" fontId="10" fillId="0" borderId="0" xfId="0" applyFont="1" applyAlignment="1">
      <alignment horizontal="center"/>
    </xf>
    <xf numFmtId="0" fontId="11" fillId="0" borderId="0" xfId="0" applyFont="1" applyAlignment="1">
      <alignment horizontal="center"/>
    </xf>
    <xf numFmtId="0" fontId="8" fillId="0" borderId="7" xfId="0" applyFont="1" applyBorder="1" applyAlignment="1">
      <alignment horizontal="center" vertical="center" wrapText="1"/>
    </xf>
    <xf numFmtId="0" fontId="14" fillId="0" borderId="0" xfId="2" applyFont="1" applyAlignment="1">
      <alignment horizontal="center"/>
    </xf>
    <xf numFmtId="0" fontId="14" fillId="0" borderId="0" xfId="2" applyFont="1" applyAlignment="1">
      <alignment horizontal="left" vertical="top"/>
    </xf>
    <xf numFmtId="0" fontId="14" fillId="0" borderId="0" xfId="2" applyFont="1" applyAlignment="1">
      <alignment horizontal="justify" vertical="top" wrapText="1"/>
    </xf>
    <xf numFmtId="0" fontId="14" fillId="0" borderId="0" xfId="2" applyFont="1" applyAlignment="1">
      <alignment horizontal="right" vertical="top"/>
    </xf>
    <xf numFmtId="0" fontId="14" fillId="0" borderId="0" xfId="2" applyFont="1" applyAlignment="1">
      <alignment horizontal="left" vertical="center"/>
    </xf>
    <xf numFmtId="0" fontId="14" fillId="0" borderId="0" xfId="2" applyFont="1" applyAlignment="1">
      <alignment horizontal="left"/>
    </xf>
    <xf numFmtId="0" fontId="6" fillId="0" borderId="0" xfId="2" applyFont="1" applyAlignment="1">
      <alignment horizontal="center"/>
    </xf>
  </cellXfs>
  <cellStyles count="5">
    <cellStyle name="Comma [0] 2" xfId="3"/>
    <cellStyle name="Comma 2" xfId="4"/>
    <cellStyle name="Normal" xfId="0" builtinId="0"/>
    <cellStyle name="Normal 2" xfId="1"/>
    <cellStyle name="Normal 3"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0</xdr:rowOff>
    </xdr:from>
    <xdr:to>
      <xdr:col>1</xdr:col>
      <xdr:colOff>666750</xdr:colOff>
      <xdr:row>4</xdr:row>
      <xdr:rowOff>247650</xdr:rowOff>
    </xdr:to>
    <xdr:pic>
      <xdr:nvPicPr>
        <xdr:cNvPr id="3" name="Picture 2" descr="Pijer Podi3"/>
        <xdr:cNvPicPr>
          <a:picLocks noChangeAspect="1" noChangeArrowheads="1"/>
        </xdr:cNvPicPr>
      </xdr:nvPicPr>
      <xdr:blipFill>
        <a:blip xmlns:r="http://schemas.openxmlformats.org/officeDocument/2006/relationships" r:embed="rId1" cstate="print"/>
        <a:srcRect/>
        <a:stretch>
          <a:fillRect/>
        </a:stretch>
      </xdr:blipFill>
      <xdr:spPr bwMode="auto">
        <a:xfrm>
          <a:off x="38100" y="0"/>
          <a:ext cx="1028700" cy="1200150"/>
        </a:xfrm>
        <a:prstGeom prst="rect">
          <a:avLst/>
        </a:prstGeom>
        <a:solidFill>
          <a:srgbClr val="000000"/>
        </a:solid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rbilang-excel/terbilang.xla"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definedNames>
      <definedName name="terbilang"/>
    </defined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K44"/>
  <sheetViews>
    <sheetView view="pageBreakPreview" topLeftCell="A4" zoomScaleSheetLayoutView="100" workbookViewId="0">
      <selection activeCell="J23" sqref="J23"/>
    </sheetView>
  </sheetViews>
  <sheetFormatPr defaultRowHeight="15"/>
  <cols>
    <col min="1" max="1" width="3.140625" style="2" customWidth="1"/>
    <col min="2" max="2" width="10.7109375" style="2" customWidth="1"/>
    <col min="3" max="3" width="1.85546875" style="2" customWidth="1"/>
    <col min="4" max="4" width="20.7109375" style="2" customWidth="1"/>
    <col min="5" max="5" width="2.28515625" style="2" customWidth="1"/>
    <col min="6" max="6" width="9.140625" style="2"/>
    <col min="7" max="7" width="9.140625" style="2" customWidth="1"/>
    <col min="8" max="8" width="12.85546875" style="2" customWidth="1"/>
    <col min="9" max="9" width="2.5703125" style="2" customWidth="1"/>
    <col min="10" max="10" width="23.140625" style="2" customWidth="1"/>
    <col min="11" max="16384" width="9.140625" style="2"/>
  </cols>
  <sheetData>
    <row r="1" spans="1:11" ht="18.75">
      <c r="A1" s="68"/>
      <c r="B1" s="68"/>
      <c r="C1" s="69" t="s">
        <v>8</v>
      </c>
      <c r="D1" s="69"/>
      <c r="E1" s="69"/>
      <c r="F1" s="69"/>
      <c r="G1" s="69"/>
      <c r="H1" s="69"/>
      <c r="I1" s="69"/>
      <c r="J1" s="69"/>
    </row>
    <row r="2" spans="1:11" ht="20.25" customHeight="1">
      <c r="A2" s="68"/>
      <c r="B2" s="68"/>
      <c r="C2" s="71" t="s">
        <v>20</v>
      </c>
      <c r="D2" s="71"/>
      <c r="E2" s="71"/>
      <c r="F2" s="71"/>
      <c r="G2" s="71"/>
      <c r="H2" s="71"/>
      <c r="I2" s="71"/>
      <c r="J2" s="71"/>
    </row>
    <row r="3" spans="1:11" ht="20.25" customHeight="1">
      <c r="A3" s="68"/>
      <c r="B3" s="68"/>
      <c r="C3" s="71"/>
      <c r="D3" s="71"/>
      <c r="E3" s="71"/>
      <c r="F3" s="71"/>
      <c r="G3" s="71"/>
      <c r="H3" s="71"/>
      <c r="I3" s="71"/>
      <c r="J3" s="71"/>
    </row>
    <row r="4" spans="1:11" ht="15.75">
      <c r="A4" s="68"/>
      <c r="B4" s="68"/>
      <c r="C4" s="70" t="s">
        <v>17</v>
      </c>
      <c r="D4" s="70"/>
      <c r="E4" s="70"/>
      <c r="F4" s="70"/>
      <c r="G4" s="70"/>
      <c r="H4" s="70"/>
      <c r="I4" s="70"/>
      <c r="J4" s="70"/>
    </row>
    <row r="5" spans="1:11" ht="24" customHeight="1" thickBot="1">
      <c r="A5" s="68"/>
      <c r="B5" s="68"/>
      <c r="C5" s="69" t="s">
        <v>9</v>
      </c>
      <c r="D5" s="69"/>
      <c r="E5" s="69"/>
      <c r="F5" s="69"/>
      <c r="G5" s="69"/>
      <c r="H5" s="69"/>
      <c r="I5" s="69"/>
      <c r="J5" s="69"/>
    </row>
    <row r="6" spans="1:11" ht="3.95" customHeight="1" thickBot="1">
      <c r="A6" s="66"/>
      <c r="B6" s="66"/>
      <c r="C6" s="66"/>
      <c r="D6" s="66"/>
      <c r="E6" s="66"/>
      <c r="F6" s="66"/>
      <c r="G6" s="66"/>
      <c r="H6" s="66"/>
      <c r="I6" s="66"/>
      <c r="J6" s="66"/>
    </row>
    <row r="7" spans="1:11" ht="9.75" customHeight="1" thickTop="1">
      <c r="A7" s="13"/>
      <c r="B7" s="13"/>
      <c r="C7" s="13"/>
      <c r="D7" s="13"/>
      <c r="E7" s="13"/>
      <c r="F7" s="13"/>
      <c r="G7" s="13"/>
      <c r="H7" s="13"/>
      <c r="I7" s="13"/>
      <c r="J7" s="13"/>
    </row>
    <row r="8" spans="1:11" ht="9.75" customHeight="1">
      <c r="A8" s="13"/>
      <c r="B8" s="13"/>
      <c r="C8" s="13"/>
      <c r="D8" s="13"/>
      <c r="E8" s="13"/>
      <c r="F8" s="13"/>
      <c r="G8" s="13"/>
      <c r="H8" s="13"/>
      <c r="I8" s="13"/>
      <c r="J8" s="13"/>
    </row>
    <row r="9" spans="1:11" ht="18.75">
      <c r="A9" s="67" t="s">
        <v>37</v>
      </c>
      <c r="B9" s="67"/>
      <c r="C9" s="67"/>
      <c r="D9" s="67"/>
      <c r="E9" s="67"/>
      <c r="F9" s="67"/>
      <c r="G9" s="67"/>
      <c r="H9" s="67"/>
      <c r="I9" s="67"/>
      <c r="J9" s="67"/>
    </row>
    <row r="10" spans="1:11" ht="18.75">
      <c r="A10" s="67" t="s">
        <v>21</v>
      </c>
      <c r="B10" s="67"/>
      <c r="C10" s="67"/>
      <c r="D10" s="67"/>
      <c r="E10" s="67"/>
      <c r="F10" s="67"/>
      <c r="G10" s="67"/>
      <c r="H10" s="67"/>
      <c r="I10" s="67"/>
      <c r="J10" s="67"/>
    </row>
    <row r="11" spans="1:11" ht="9.9499999999999993" customHeight="1">
      <c r="A11" s="3"/>
      <c r="B11" s="3"/>
      <c r="C11" s="3"/>
      <c r="D11" s="3"/>
      <c r="E11" s="3"/>
      <c r="F11" s="5"/>
      <c r="G11" s="3"/>
      <c r="H11" s="3"/>
      <c r="I11" s="3"/>
      <c r="J11" s="3"/>
    </row>
    <row r="12" spans="1:11" ht="9.9499999999999993" customHeight="1">
      <c r="A12" s="3"/>
      <c r="B12" s="3"/>
      <c r="C12" s="3"/>
      <c r="D12" s="3"/>
      <c r="E12" s="3"/>
      <c r="F12" s="3"/>
      <c r="G12" s="3"/>
      <c r="H12" s="3"/>
      <c r="I12" s="3"/>
      <c r="J12" s="3"/>
    </row>
    <row r="13" spans="1:11" ht="20.100000000000001" customHeight="1">
      <c r="A13" s="3"/>
      <c r="B13" s="61" t="s">
        <v>11</v>
      </c>
      <c r="C13" s="61"/>
      <c r="D13" s="61"/>
      <c r="E13" s="8" t="s">
        <v>0</v>
      </c>
      <c r="F13" s="12" t="s">
        <v>49</v>
      </c>
      <c r="G13" s="7"/>
      <c r="H13" s="7"/>
      <c r="I13" s="7"/>
      <c r="J13" s="3"/>
    </row>
    <row r="14" spans="1:11" ht="15.75" customHeight="1">
      <c r="A14" s="3"/>
      <c r="B14" s="62" t="s">
        <v>12</v>
      </c>
      <c r="C14" s="62"/>
      <c r="D14" s="62"/>
      <c r="E14" s="14" t="s">
        <v>0</v>
      </c>
      <c r="F14" s="65" t="s">
        <v>50</v>
      </c>
      <c r="G14" s="65"/>
      <c r="H14" s="65"/>
      <c r="I14" s="65"/>
      <c r="J14" s="65"/>
      <c r="K14" s="16" t="s">
        <v>19</v>
      </c>
    </row>
    <row r="15" spans="1:11" ht="15.75">
      <c r="A15" s="3"/>
      <c r="B15" s="37"/>
      <c r="C15" s="37"/>
      <c r="D15" s="37"/>
      <c r="E15" s="14"/>
      <c r="F15" s="65"/>
      <c r="G15" s="65"/>
      <c r="H15" s="65"/>
      <c r="I15" s="65"/>
      <c r="J15" s="65"/>
      <c r="K15" s="16"/>
    </row>
    <row r="16" spans="1:11" ht="20.100000000000001" customHeight="1">
      <c r="A16" s="3"/>
      <c r="B16" s="61" t="s">
        <v>5</v>
      </c>
      <c r="C16" s="61"/>
      <c r="D16" s="61"/>
      <c r="E16" s="8" t="s">
        <v>0</v>
      </c>
      <c r="F16" s="12" t="s">
        <v>43</v>
      </c>
      <c r="G16" s="12"/>
      <c r="H16" s="12"/>
      <c r="I16" s="12"/>
      <c r="J16" s="3"/>
    </row>
    <row r="17" spans="1:11" ht="20.100000000000001" customHeight="1">
      <c r="A17" s="3"/>
      <c r="B17" s="61" t="s">
        <v>15</v>
      </c>
      <c r="C17" s="61"/>
      <c r="D17" s="61"/>
      <c r="E17" s="8" t="s">
        <v>0</v>
      </c>
      <c r="F17" s="63" t="s">
        <v>44</v>
      </c>
      <c r="G17" s="63"/>
      <c r="H17" s="63"/>
      <c r="I17" s="63"/>
      <c r="J17" s="63"/>
    </row>
    <row r="18" spans="1:11" ht="15" customHeight="1">
      <c r="A18" s="3"/>
      <c r="B18" s="61" t="s">
        <v>14</v>
      </c>
      <c r="C18" s="61"/>
      <c r="D18" s="61"/>
      <c r="E18" s="8" t="s">
        <v>0</v>
      </c>
      <c r="F18" s="7" t="s">
        <v>45</v>
      </c>
      <c r="G18" s="7"/>
      <c r="H18" s="7"/>
      <c r="I18" s="7"/>
      <c r="J18" s="3"/>
    </row>
    <row r="19" spans="1:11" ht="15" customHeight="1">
      <c r="A19" s="3"/>
      <c r="B19" s="19" t="s">
        <v>13</v>
      </c>
      <c r="C19" s="11"/>
      <c r="D19" s="11"/>
      <c r="E19" s="14" t="s">
        <v>0</v>
      </c>
      <c r="F19" s="64" t="s">
        <v>46</v>
      </c>
      <c r="G19" s="64"/>
      <c r="H19" s="64"/>
      <c r="I19" s="64"/>
      <c r="J19" s="64"/>
    </row>
    <row r="20" spans="1:11" ht="0.75" customHeight="1">
      <c r="A20" s="3"/>
      <c r="B20" s="15"/>
      <c r="C20" s="15"/>
      <c r="D20" s="15"/>
      <c r="E20" s="8"/>
      <c r="F20" s="7"/>
      <c r="G20" s="7"/>
      <c r="H20" s="1"/>
      <c r="I20" s="7"/>
      <c r="J20" s="3"/>
    </row>
    <row r="21" spans="1:11" ht="17.25" customHeight="1">
      <c r="A21" s="3"/>
      <c r="B21" s="62" t="s">
        <v>6</v>
      </c>
      <c r="C21" s="62"/>
      <c r="D21" s="62"/>
      <c r="E21" s="14" t="s">
        <v>0</v>
      </c>
      <c r="F21" s="65" t="s">
        <v>48</v>
      </c>
      <c r="G21" s="65"/>
      <c r="H21" s="65"/>
      <c r="I21" s="65"/>
      <c r="J21" s="65"/>
    </row>
    <row r="22" spans="1:11" ht="0.75" hidden="1" customHeight="1">
      <c r="A22" s="3"/>
      <c r="B22" s="19"/>
      <c r="C22" s="19"/>
      <c r="D22" s="19"/>
      <c r="E22" s="14"/>
      <c r="F22" s="65"/>
      <c r="G22" s="65"/>
      <c r="H22" s="65"/>
      <c r="I22" s="65"/>
      <c r="J22" s="65"/>
    </row>
    <row r="23" spans="1:11" ht="20.100000000000001" customHeight="1">
      <c r="A23" s="3"/>
      <c r="B23" s="11" t="s">
        <v>7</v>
      </c>
      <c r="C23" s="11"/>
      <c r="D23" s="11"/>
      <c r="E23" s="8" t="s">
        <v>0</v>
      </c>
      <c r="F23" s="12" t="s">
        <v>47</v>
      </c>
      <c r="G23" s="7"/>
      <c r="H23" s="7"/>
      <c r="I23" s="7"/>
      <c r="J23" s="3"/>
    </row>
    <row r="24" spans="1:11" ht="9.9499999999999993" customHeight="1">
      <c r="A24" s="3"/>
      <c r="B24" s="3"/>
      <c r="C24" s="3"/>
      <c r="D24" s="3"/>
      <c r="E24" s="6"/>
      <c r="F24" s="3"/>
      <c r="G24" s="3"/>
      <c r="H24" s="3"/>
      <c r="I24" s="3"/>
      <c r="J24" s="6"/>
      <c r="K24" s="6"/>
    </row>
    <row r="25" spans="1:11" ht="15.75">
      <c r="A25" s="3"/>
      <c r="B25" s="4" t="s">
        <v>42</v>
      </c>
      <c r="C25" s="3"/>
      <c r="D25" s="3"/>
      <c r="E25" s="6"/>
      <c r="F25" s="3"/>
      <c r="G25" s="3"/>
      <c r="H25" s="3"/>
      <c r="I25" s="3"/>
      <c r="J25" s="3"/>
    </row>
    <row r="26" spans="1:11" ht="32.1" customHeight="1">
      <c r="A26" s="3"/>
      <c r="B26" s="10" t="s">
        <v>16</v>
      </c>
      <c r="C26" s="10" t="s">
        <v>0</v>
      </c>
      <c r="D26" s="72" t="s">
        <v>38</v>
      </c>
      <c r="E26" s="72"/>
      <c r="F26" s="72"/>
      <c r="G26" s="72"/>
      <c r="H26" s="72"/>
      <c r="I26" s="72"/>
      <c r="J26" s="72"/>
    </row>
    <row r="27" spans="1:11" ht="66" customHeight="1">
      <c r="A27" s="3"/>
      <c r="B27" s="10" t="s">
        <v>1</v>
      </c>
      <c r="C27" s="10" t="s">
        <v>0</v>
      </c>
      <c r="D27" s="72" t="s">
        <v>39</v>
      </c>
      <c r="E27" s="72"/>
      <c r="F27" s="72"/>
      <c r="G27" s="72"/>
      <c r="H27" s="72"/>
      <c r="I27" s="72"/>
      <c r="J27" s="72"/>
    </row>
    <row r="28" spans="1:11" ht="48.95" customHeight="1">
      <c r="A28" s="3"/>
      <c r="B28" s="10" t="s">
        <v>2</v>
      </c>
      <c r="C28" s="10" t="s">
        <v>0</v>
      </c>
      <c r="D28" s="72" t="s">
        <v>40</v>
      </c>
      <c r="E28" s="72"/>
      <c r="F28" s="72"/>
      <c r="G28" s="72"/>
      <c r="H28" s="72"/>
      <c r="I28" s="72"/>
      <c r="J28" s="72"/>
    </row>
    <row r="29" spans="1:11" ht="48.95" customHeight="1">
      <c r="A29" s="3"/>
      <c r="B29" s="10" t="s">
        <v>3</v>
      </c>
      <c r="C29" s="10" t="s">
        <v>0</v>
      </c>
      <c r="D29" s="72" t="s">
        <v>41</v>
      </c>
      <c r="E29" s="72"/>
      <c r="F29" s="72"/>
      <c r="G29" s="72"/>
      <c r="H29" s="72"/>
      <c r="I29" s="72"/>
      <c r="J29" s="72"/>
    </row>
    <row r="30" spans="1:11" ht="15" customHeight="1">
      <c r="A30" s="3"/>
      <c r="B30" s="3"/>
      <c r="C30" s="3"/>
      <c r="D30" s="3"/>
      <c r="E30" s="6"/>
      <c r="F30" s="3"/>
      <c r="G30" s="3"/>
      <c r="H30" s="3"/>
      <c r="I30" s="3"/>
      <c r="J30" s="3"/>
    </row>
    <row r="31" spans="1:11" ht="15" customHeight="1">
      <c r="A31" s="3"/>
      <c r="B31" s="3"/>
      <c r="C31" s="3"/>
      <c r="D31" s="3"/>
      <c r="E31" s="6"/>
      <c r="F31" s="3"/>
      <c r="G31" s="3"/>
      <c r="H31" s="3"/>
      <c r="I31" s="3"/>
      <c r="J31" s="3"/>
    </row>
    <row r="32" spans="1:11" ht="15" customHeight="1">
      <c r="A32" s="3"/>
      <c r="B32" s="3"/>
      <c r="C32" s="3"/>
      <c r="D32" s="3"/>
      <c r="E32" s="6"/>
      <c r="F32" s="3"/>
      <c r="G32" s="3"/>
      <c r="H32" s="3"/>
      <c r="I32" s="3"/>
      <c r="J32" s="3"/>
    </row>
    <row r="33" spans="1:11" ht="15.75">
      <c r="A33" s="3"/>
      <c r="B33" s="3"/>
      <c r="C33" s="3"/>
      <c r="D33" s="3"/>
      <c r="E33" s="3"/>
      <c r="F33" s="3"/>
      <c r="G33" s="3" t="s">
        <v>10</v>
      </c>
      <c r="H33" s="3"/>
      <c r="I33" s="3" t="s">
        <v>0</v>
      </c>
      <c r="J33" s="3" t="s">
        <v>26</v>
      </c>
    </row>
    <row r="34" spans="1:11" ht="15.75">
      <c r="A34" s="3"/>
      <c r="B34" s="3"/>
      <c r="C34" s="3"/>
      <c r="D34" s="3"/>
      <c r="E34" s="3"/>
      <c r="F34" s="3"/>
      <c r="G34" s="3" t="s">
        <v>18</v>
      </c>
      <c r="H34" s="3"/>
      <c r="I34" s="3" t="s">
        <v>0</v>
      </c>
      <c r="J34" s="3">
        <v>2017</v>
      </c>
    </row>
    <row r="35" spans="1:11" ht="15.75">
      <c r="A35" s="3"/>
      <c r="B35" s="3"/>
      <c r="C35" s="3"/>
      <c r="D35" s="3"/>
      <c r="E35" s="3"/>
      <c r="F35" s="4"/>
      <c r="G35" s="3"/>
      <c r="H35" s="3"/>
      <c r="I35" s="3"/>
      <c r="J35" s="3"/>
    </row>
    <row r="36" spans="1:11" ht="6" customHeight="1">
      <c r="A36" s="3"/>
      <c r="B36" s="9"/>
      <c r="C36" s="9"/>
      <c r="D36" s="3"/>
      <c r="E36" s="3"/>
      <c r="F36" s="73"/>
      <c r="G36" s="73"/>
      <c r="H36" s="73"/>
      <c r="I36" s="73"/>
      <c r="J36" s="73"/>
    </row>
    <row r="37" spans="1:11" ht="15.75" customHeight="1">
      <c r="A37" s="3"/>
      <c r="B37" s="9"/>
      <c r="C37" s="9"/>
      <c r="D37" s="3"/>
      <c r="E37" s="74" t="s">
        <v>25</v>
      </c>
      <c r="F37" s="74"/>
      <c r="G37" s="74"/>
      <c r="H37" s="74"/>
      <c r="I37" s="74"/>
      <c r="J37" s="74"/>
    </row>
    <row r="38" spans="1:11" ht="15.75" customHeight="1">
      <c r="A38" s="3"/>
      <c r="B38" s="9"/>
      <c r="C38" s="9"/>
      <c r="D38" s="3"/>
      <c r="E38" s="74" t="s">
        <v>22</v>
      </c>
      <c r="F38" s="74"/>
      <c r="G38" s="74"/>
      <c r="H38" s="74"/>
      <c r="I38" s="74"/>
      <c r="J38" s="74"/>
    </row>
    <row r="39" spans="1:11" ht="15.75">
      <c r="A39" s="3"/>
      <c r="B39" s="9"/>
      <c r="C39" s="9"/>
      <c r="D39" s="3" t="s">
        <v>19</v>
      </c>
      <c r="E39" s="3"/>
      <c r="F39" s="17"/>
      <c r="G39" s="18"/>
      <c r="H39" s="17"/>
      <c r="I39" s="17"/>
      <c r="J39" s="17"/>
    </row>
    <row r="40" spans="1:11" ht="15.75">
      <c r="A40" s="3"/>
      <c r="B40" s="9"/>
      <c r="C40" s="9"/>
      <c r="D40" s="3"/>
      <c r="E40" s="3"/>
      <c r="F40" s="17"/>
      <c r="G40" s="73"/>
      <c r="H40" s="73"/>
      <c r="I40" s="73"/>
      <c r="J40" s="73"/>
      <c r="K40" s="2">
        <v>1</v>
      </c>
    </row>
    <row r="41" spans="1:11" ht="15.75">
      <c r="A41" s="3"/>
      <c r="B41" s="9"/>
      <c r="C41" s="9"/>
      <c r="D41" s="3"/>
      <c r="E41" s="3"/>
      <c r="F41" s="17"/>
      <c r="G41" s="18"/>
      <c r="H41" s="17"/>
      <c r="I41" s="17"/>
      <c r="J41" s="17"/>
    </row>
    <row r="42" spans="1:11" ht="15.75" customHeight="1">
      <c r="A42" s="3"/>
      <c r="B42" s="9"/>
      <c r="C42" s="9"/>
      <c r="D42" s="3"/>
      <c r="E42" s="74" t="s">
        <v>23</v>
      </c>
      <c r="F42" s="74"/>
      <c r="G42" s="74"/>
      <c r="H42" s="74"/>
      <c r="I42" s="74"/>
      <c r="J42" s="74"/>
    </row>
    <row r="43" spans="1:11" ht="15.75" customHeight="1">
      <c r="E43" s="74" t="s">
        <v>27</v>
      </c>
      <c r="F43" s="74"/>
      <c r="G43" s="74"/>
      <c r="H43" s="74"/>
      <c r="I43" s="74"/>
      <c r="J43" s="74"/>
    </row>
    <row r="44" spans="1:11" ht="15.75" customHeight="1">
      <c r="E44" s="73" t="s">
        <v>24</v>
      </c>
      <c r="F44" s="73"/>
      <c r="G44" s="73"/>
      <c r="H44" s="73"/>
      <c r="I44" s="73"/>
      <c r="J44" s="73"/>
    </row>
  </sheetData>
  <mergeCells count="29">
    <mergeCell ref="E44:J44"/>
    <mergeCell ref="G40:J40"/>
    <mergeCell ref="E37:J37"/>
    <mergeCell ref="E38:J38"/>
    <mergeCell ref="E42:J42"/>
    <mergeCell ref="E43:J43"/>
    <mergeCell ref="D26:J26"/>
    <mergeCell ref="D27:J27"/>
    <mergeCell ref="D28:J28"/>
    <mergeCell ref="D29:J29"/>
    <mergeCell ref="F36:J36"/>
    <mergeCell ref="A1:B5"/>
    <mergeCell ref="C1:J1"/>
    <mergeCell ref="C4:J4"/>
    <mergeCell ref="C5:J5"/>
    <mergeCell ref="C2:J3"/>
    <mergeCell ref="A6:J6"/>
    <mergeCell ref="A9:J9"/>
    <mergeCell ref="A10:J10"/>
    <mergeCell ref="B13:D13"/>
    <mergeCell ref="B14:D14"/>
    <mergeCell ref="F14:J15"/>
    <mergeCell ref="B16:D16"/>
    <mergeCell ref="B21:D21"/>
    <mergeCell ref="B18:D18"/>
    <mergeCell ref="B17:D17"/>
    <mergeCell ref="F17:J17"/>
    <mergeCell ref="F19:J19"/>
    <mergeCell ref="F21:J22"/>
  </mergeCells>
  <pageMargins left="0.5" right="0.5" top="0.25" bottom="1.2" header="0.31496062992126" footer="0.31496062992126"/>
  <pageSetup paperSize="5"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dimension ref="A1:L18"/>
  <sheetViews>
    <sheetView view="pageBreakPreview" zoomScale="89" zoomScaleNormal="78" zoomScaleSheetLayoutView="89" workbookViewId="0">
      <selection activeCell="A4" sqref="A4:XFD4"/>
    </sheetView>
  </sheetViews>
  <sheetFormatPr defaultRowHeight="15"/>
  <cols>
    <col min="1" max="1" width="5" style="27" customWidth="1"/>
    <col min="2" max="2" width="18.7109375" style="28" customWidth="1"/>
    <col min="3" max="3" width="30.7109375" style="29" customWidth="1"/>
    <col min="4" max="4" width="16.85546875" style="29" customWidth="1"/>
    <col min="5" max="5" width="17.7109375" style="29" customWidth="1"/>
    <col min="6" max="6" width="30.7109375" style="29" customWidth="1"/>
    <col min="7" max="7" width="8.140625" style="30" customWidth="1"/>
    <col min="8" max="8" width="3.28515625" style="28" customWidth="1"/>
    <col min="9" max="9" width="24" style="31" customWidth="1"/>
    <col min="10" max="12" width="15.7109375" style="32" customWidth="1"/>
    <col min="13" max="13" width="0" hidden="1" customWidth="1"/>
  </cols>
  <sheetData>
    <row r="1" spans="1:12" ht="28.5" customHeight="1">
      <c r="A1" s="75" t="s">
        <v>33</v>
      </c>
      <c r="B1" s="75"/>
      <c r="C1" s="75"/>
      <c r="D1" s="75"/>
      <c r="E1" s="75"/>
      <c r="F1" s="75"/>
      <c r="G1" s="75"/>
      <c r="H1" s="75"/>
      <c r="I1" s="75"/>
      <c r="J1" s="75"/>
      <c r="K1" s="75"/>
      <c r="L1" s="75"/>
    </row>
    <row r="2" spans="1:12" ht="23.25">
      <c r="A2" s="76" t="s">
        <v>34</v>
      </c>
      <c r="B2" s="76"/>
      <c r="C2" s="76"/>
      <c r="D2" s="76"/>
      <c r="E2" s="76"/>
      <c r="F2" s="76"/>
      <c r="G2" s="76"/>
      <c r="H2" s="76"/>
      <c r="I2" s="76"/>
      <c r="J2" s="76"/>
      <c r="K2" s="76"/>
      <c r="L2" s="76"/>
    </row>
    <row r="3" spans="1:12" ht="19.5" thickBot="1">
      <c r="A3" s="22"/>
      <c r="B3" s="22"/>
      <c r="C3" s="22"/>
      <c r="D3" s="22"/>
      <c r="E3" s="22"/>
      <c r="F3" s="22"/>
      <c r="G3" s="22"/>
      <c r="H3" s="22"/>
      <c r="I3" s="22"/>
      <c r="J3" s="23"/>
      <c r="K3" s="23"/>
      <c r="L3" s="23"/>
    </row>
    <row r="4" spans="1:12" ht="39.950000000000003" customHeight="1">
      <c r="A4" s="20" t="s">
        <v>32</v>
      </c>
      <c r="B4" s="21" t="s">
        <v>4</v>
      </c>
      <c r="C4" s="35" t="s">
        <v>28</v>
      </c>
      <c r="D4" s="35" t="s">
        <v>5</v>
      </c>
      <c r="E4" s="35" t="s">
        <v>15</v>
      </c>
      <c r="F4" s="35" t="s">
        <v>6</v>
      </c>
      <c r="G4" s="77" t="s">
        <v>29</v>
      </c>
      <c r="H4" s="77"/>
      <c r="I4" s="77"/>
      <c r="J4" s="35" t="s">
        <v>30</v>
      </c>
      <c r="K4" s="36" t="s">
        <v>7</v>
      </c>
      <c r="L4" s="35" t="s">
        <v>31</v>
      </c>
    </row>
    <row r="5" spans="1:12" ht="15" customHeight="1" thickBot="1"/>
    <row r="6" spans="1:12" s="31" customFormat="1" ht="58.5" customHeight="1">
      <c r="A6" s="27"/>
      <c r="B6" s="28" t="str">
        <f>CONCATENATE(depan!F13)</f>
        <v>DINDIN MAHMUDIN</v>
      </c>
      <c r="C6" s="33" t="str">
        <f>CONCATENATE(depan!F14)</f>
        <v>Pakuan Regency Subang Larang Blok C.8/22 Kel. Balubang Jaya Kota Bogor Barat</v>
      </c>
      <c r="D6" s="28" t="str">
        <f>CONCATENATE(depan!F16)</f>
        <v>NEON BOX</v>
      </c>
      <c r="E6" s="28" t="str">
        <f>CONCATENATE(depan!F17)</f>
        <v>INDOMARET</v>
      </c>
      <c r="F6" s="33" t="str">
        <f>CONCATENATE(depan!F21," dan ",depan!F22)</f>
        <v xml:space="preserve">Jl. Besar Kotacane Kel. Tiga Binanga Kec. Tiga Binanga Kab. Karo dan </v>
      </c>
      <c r="G6" s="24" t="s">
        <v>35</v>
      </c>
      <c r="H6" s="25"/>
      <c r="I6" s="26" t="s">
        <v>36</v>
      </c>
      <c r="J6" s="30" t="str">
        <f>CONCATENATE(depan!J34)</f>
        <v>2017</v>
      </c>
      <c r="K6" s="34" t="str">
        <f>CONCATENATE(depan!F23)</f>
        <v>22 Maret 2017 s.d 21 Maret 2018</v>
      </c>
      <c r="L6" s="30"/>
    </row>
    <row r="7" spans="1:12" ht="15" customHeight="1"/>
    <row r="8" spans="1:12" ht="15" customHeight="1"/>
    <row r="9" spans="1:12" ht="15" customHeight="1"/>
    <row r="10" spans="1:12" ht="15" customHeight="1"/>
    <row r="11" spans="1:12" ht="15" customHeight="1"/>
    <row r="12" spans="1:12" ht="15" customHeight="1"/>
    <row r="13" spans="1:12" ht="15" customHeight="1"/>
    <row r="14" spans="1:12" ht="15" customHeight="1"/>
    <row r="15" spans="1:12" ht="15" customHeight="1"/>
    <row r="16" spans="1:12" ht="15" customHeight="1"/>
    <row r="17" ht="15" customHeight="1"/>
    <row r="18" ht="15" customHeight="1"/>
  </sheetData>
  <mergeCells count="3">
    <mergeCell ref="A1:L1"/>
    <mergeCell ref="A2:L2"/>
    <mergeCell ref="G4:I4"/>
  </mergeCells>
  <pageMargins left="0.3" right="1.1499999999999999" top="0.5" bottom="0.43" header="0.31496062992126" footer="0.31496062992126"/>
  <pageSetup paperSize="5" scale="79" orientation="landscape" horizontalDpi="4294967293" verticalDpi="0" r:id="rId1"/>
</worksheet>
</file>

<file path=xl/worksheets/sheet3.xml><?xml version="1.0" encoding="utf-8"?>
<worksheet xmlns="http://schemas.openxmlformats.org/spreadsheetml/2006/main" xmlns:r="http://schemas.openxmlformats.org/officeDocument/2006/relationships">
  <dimension ref="A5:AJ42"/>
  <sheetViews>
    <sheetView tabSelected="1" view="pageBreakPreview" zoomScaleSheetLayoutView="100" workbookViewId="0">
      <selection activeCell="Q16" sqref="Q16"/>
    </sheetView>
  </sheetViews>
  <sheetFormatPr defaultRowHeight="15"/>
  <cols>
    <col min="1" max="1" width="8.140625" style="38" customWidth="1"/>
    <col min="2" max="2" width="3.42578125" style="38" customWidth="1"/>
    <col min="3" max="3" width="7.7109375" style="38" customWidth="1"/>
    <col min="4" max="4" width="8.140625" style="38" customWidth="1"/>
    <col min="5" max="5" width="4.140625" style="38" customWidth="1"/>
    <col min="6" max="6" width="1" style="38" customWidth="1"/>
    <col min="7" max="7" width="0.28515625" style="38" customWidth="1"/>
    <col min="8" max="8" width="5.5703125" style="38" bestFit="1" customWidth="1"/>
    <col min="9" max="11" width="3.7109375" style="38" customWidth="1"/>
    <col min="12" max="12" width="6.5703125" style="38" bestFit="1" customWidth="1"/>
    <col min="13" max="13" width="3.7109375" style="38" customWidth="1"/>
    <col min="14" max="14" width="4.42578125" style="38" bestFit="1" customWidth="1"/>
    <col min="15" max="15" width="3.7109375" style="38" customWidth="1"/>
    <col min="16" max="16" width="5.5703125" style="38" bestFit="1" customWidth="1"/>
    <col min="17" max="17" width="3.7109375" style="38" customWidth="1"/>
    <col min="18" max="18" width="3.85546875" style="38" customWidth="1"/>
    <col min="19" max="19" width="2.7109375" style="38" customWidth="1"/>
    <col min="20" max="20" width="17.28515625" style="38" customWidth="1"/>
    <col min="21" max="21" width="1.5703125" style="38" customWidth="1"/>
    <col min="22" max="22" width="2.7109375" style="38" customWidth="1"/>
    <col min="23" max="23" width="51" style="38" customWidth="1"/>
    <col min="24" max="16384" width="9.140625" style="38"/>
  </cols>
  <sheetData>
    <row r="5" spans="1:23" ht="60" customHeight="1"/>
    <row r="6" spans="1:23" ht="20.25" customHeight="1"/>
    <row r="7" spans="1:23" ht="20.25" customHeight="1"/>
    <row r="8" spans="1:23" ht="23.25" customHeight="1">
      <c r="F8" s="79" t="str">
        <f>CONCATENATE(depan!F13)</f>
        <v>DINDIN MAHMUDIN</v>
      </c>
      <c r="G8" s="79"/>
      <c r="H8" s="79"/>
      <c r="I8" s="79"/>
      <c r="J8" s="79"/>
      <c r="K8" s="79"/>
      <c r="L8" s="79"/>
      <c r="M8" s="79"/>
      <c r="N8" s="79"/>
      <c r="O8" s="79"/>
      <c r="P8" s="79"/>
      <c r="Q8" s="79"/>
      <c r="R8" s="79"/>
      <c r="S8" s="79"/>
      <c r="T8" s="79"/>
    </row>
    <row r="9" spans="1:23" ht="19.5" customHeight="1">
      <c r="F9" s="80" t="str">
        <f>CONCATENATE(depan!F14)</f>
        <v>Pakuan Regency Subang Larang Blok C.8/22 Kel. Balubang Jaya Kota Bogor Barat</v>
      </c>
      <c r="G9" s="80"/>
      <c r="H9" s="80"/>
      <c r="I9" s="80"/>
      <c r="J9" s="80"/>
      <c r="K9" s="80"/>
      <c r="L9" s="80"/>
      <c r="M9" s="80"/>
      <c r="N9" s="80"/>
      <c r="O9" s="80"/>
      <c r="P9" s="80"/>
      <c r="Q9" s="80"/>
      <c r="R9" s="80"/>
      <c r="S9" s="80"/>
      <c r="T9" s="80"/>
    </row>
    <row r="10" spans="1:23">
      <c r="F10" s="80"/>
      <c r="G10" s="80"/>
      <c r="H10" s="80"/>
      <c r="I10" s="80"/>
      <c r="J10" s="80"/>
      <c r="K10" s="80"/>
      <c r="L10" s="80"/>
      <c r="M10" s="80"/>
      <c r="N10" s="80"/>
      <c r="O10" s="80"/>
      <c r="P10" s="80"/>
      <c r="Q10" s="80"/>
      <c r="R10" s="80"/>
      <c r="S10" s="80"/>
      <c r="T10" s="80"/>
    </row>
    <row r="11" spans="1:23">
      <c r="F11" s="39"/>
      <c r="G11" s="39"/>
      <c r="H11" s="39"/>
      <c r="I11" s="39"/>
      <c r="J11" s="39"/>
      <c r="K11" s="39"/>
      <c r="L11" s="39"/>
      <c r="M11" s="40"/>
      <c r="N11" s="39"/>
      <c r="O11" s="39"/>
      <c r="P11" s="39"/>
      <c r="Q11" s="39"/>
      <c r="R11" s="39"/>
      <c r="S11" s="39"/>
      <c r="T11" s="39"/>
    </row>
    <row r="12" spans="1:23" ht="40.700000000000003" customHeight="1">
      <c r="F12" s="39"/>
      <c r="G12" s="39"/>
      <c r="H12" s="39"/>
      <c r="I12" s="39"/>
      <c r="J12" s="39"/>
      <c r="K12" s="39"/>
      <c r="L12" s="39"/>
      <c r="M12" s="39"/>
      <c r="N12" s="39"/>
      <c r="O12" s="39"/>
      <c r="P12" s="39"/>
      <c r="Q12" s="39"/>
      <c r="R12" s="39"/>
      <c r="S12" s="39"/>
      <c r="T12" s="39"/>
    </row>
    <row r="14" spans="1:23" s="39" customFormat="1" ht="120.75" customHeight="1">
      <c r="A14" s="39">
        <v>1</v>
      </c>
      <c r="B14" s="81" t="s">
        <v>51</v>
      </c>
      <c r="C14" s="81"/>
      <c r="D14" s="81"/>
      <c r="E14" s="41" t="e">
        <f>CONCATENATE(#REF!," ",#REF!," ",#REF!," ",#REF!," ",#REF!," ",#REF!," ",#REF!," ",#REF!," ",#REF!," ",#REF!)</f>
        <v>#REF!</v>
      </c>
      <c r="F14" s="42"/>
      <c r="G14" s="42"/>
      <c r="H14" s="80" t="str">
        <f>CONCATENATE("Pembayaran Pajak Reklame ",depan!F16," (",depan!F17,")"," yang terletak di ",depan!F21,", sebagai berikut:")</f>
        <v>Pembayaran Pajak Reklame NEON BOX (INDOMARET) yang terletak di Jl. Besar Kotacane Kel. Tiga Binanga Kec. Tiga Binanga Kab. Karo, sebagai berikut:</v>
      </c>
      <c r="I14" s="80"/>
      <c r="J14" s="80"/>
      <c r="K14" s="80"/>
      <c r="L14" s="80"/>
      <c r="M14" s="80"/>
      <c r="N14" s="80"/>
      <c r="O14" s="80"/>
      <c r="P14" s="80"/>
      <c r="Q14" s="80"/>
      <c r="R14" s="80"/>
      <c r="T14" s="42"/>
      <c r="W14" s="42" t="s">
        <v>52</v>
      </c>
    </row>
    <row r="15" spans="1:23" s="43" customFormat="1" ht="17.25" customHeight="1">
      <c r="H15" s="44">
        <v>2</v>
      </c>
      <c r="I15" s="45" t="s">
        <v>53</v>
      </c>
      <c r="J15" s="46">
        <v>3</v>
      </c>
      <c r="K15" s="47" t="s">
        <v>53</v>
      </c>
      <c r="L15" s="48">
        <v>2000</v>
      </c>
      <c r="M15" s="47" t="s">
        <v>53</v>
      </c>
      <c r="N15" s="49">
        <v>0.25</v>
      </c>
      <c r="O15" s="50" t="s">
        <v>54</v>
      </c>
      <c r="P15" s="51">
        <v>182</v>
      </c>
      <c r="Q15" s="50" t="s">
        <v>54</v>
      </c>
      <c r="R15" s="51">
        <v>2</v>
      </c>
      <c r="S15" s="50" t="s">
        <v>55</v>
      </c>
      <c r="T15" s="52">
        <f t="shared" ref="T15:T19" si="0">+H15*J15*L15*N15*P15*R15</f>
        <v>1092000</v>
      </c>
      <c r="W15" s="53"/>
    </row>
    <row r="16" spans="1:23">
      <c r="H16" s="44">
        <v>2</v>
      </c>
      <c r="I16" s="45" t="s">
        <v>53</v>
      </c>
      <c r="J16" s="46">
        <v>2</v>
      </c>
      <c r="K16" s="47" t="s">
        <v>53</v>
      </c>
      <c r="L16" s="48">
        <v>2000</v>
      </c>
      <c r="M16" s="47" t="s">
        <v>53</v>
      </c>
      <c r="N16" s="49">
        <v>0.25</v>
      </c>
      <c r="O16" s="50" t="s">
        <v>54</v>
      </c>
      <c r="P16" s="51">
        <v>182</v>
      </c>
      <c r="Q16" s="50" t="s">
        <v>54</v>
      </c>
      <c r="R16" s="51">
        <v>2</v>
      </c>
      <c r="S16" s="50" t="s">
        <v>55</v>
      </c>
      <c r="T16" s="52">
        <f t="shared" si="0"/>
        <v>728000</v>
      </c>
    </row>
    <row r="17" spans="4:36">
      <c r="H17" s="44">
        <v>1</v>
      </c>
      <c r="I17" s="45" t="s">
        <v>53</v>
      </c>
      <c r="J17" s="46">
        <v>3</v>
      </c>
      <c r="K17" s="47" t="s">
        <v>53</v>
      </c>
      <c r="L17" s="48">
        <v>2000</v>
      </c>
      <c r="M17" s="47" t="s">
        <v>53</v>
      </c>
      <c r="N17" s="49">
        <v>0.25</v>
      </c>
      <c r="O17" s="50" t="s">
        <v>54</v>
      </c>
      <c r="P17" s="51">
        <v>182</v>
      </c>
      <c r="Q17" s="50" t="s">
        <v>54</v>
      </c>
      <c r="R17" s="51">
        <v>1</v>
      </c>
      <c r="S17" s="50" t="s">
        <v>55</v>
      </c>
      <c r="T17" s="52">
        <f t="shared" si="0"/>
        <v>273000</v>
      </c>
    </row>
    <row r="18" spans="4:36">
      <c r="H18" s="44">
        <v>2</v>
      </c>
      <c r="I18" s="45" t="s">
        <v>53</v>
      </c>
      <c r="J18" s="46">
        <v>2</v>
      </c>
      <c r="K18" s="47" t="s">
        <v>53</v>
      </c>
      <c r="L18" s="48">
        <v>2000</v>
      </c>
      <c r="M18" s="47" t="s">
        <v>53</v>
      </c>
      <c r="N18" s="49">
        <v>0.25</v>
      </c>
      <c r="O18" s="50" t="s">
        <v>54</v>
      </c>
      <c r="P18" s="51">
        <v>182</v>
      </c>
      <c r="Q18" s="50" t="s">
        <v>54</v>
      </c>
      <c r="R18" s="51">
        <v>2</v>
      </c>
      <c r="S18" s="50" t="s">
        <v>55</v>
      </c>
      <c r="T18" s="52">
        <f t="shared" si="0"/>
        <v>728000</v>
      </c>
    </row>
    <row r="19" spans="4:36">
      <c r="H19" s="44">
        <v>2</v>
      </c>
      <c r="I19" s="45" t="s">
        <v>53</v>
      </c>
      <c r="J19" s="46">
        <v>3</v>
      </c>
      <c r="K19" s="47" t="s">
        <v>53</v>
      </c>
      <c r="L19" s="48">
        <v>2000</v>
      </c>
      <c r="M19" s="47" t="s">
        <v>53</v>
      </c>
      <c r="N19" s="49">
        <v>0.25</v>
      </c>
      <c r="O19" s="50" t="s">
        <v>54</v>
      </c>
      <c r="P19" s="51">
        <v>182</v>
      </c>
      <c r="Q19" s="50" t="s">
        <v>54</v>
      </c>
      <c r="R19" s="51">
        <v>2</v>
      </c>
      <c r="S19" s="50" t="s">
        <v>55</v>
      </c>
      <c r="T19" s="52">
        <f t="shared" si="0"/>
        <v>1092000</v>
      </c>
    </row>
    <row r="20" spans="4:36" ht="20.100000000000001" customHeight="1">
      <c r="E20" s="54"/>
      <c r="F20" s="54"/>
      <c r="G20" s="54"/>
      <c r="H20" s="44"/>
      <c r="I20" s="45"/>
      <c r="J20" s="46"/>
      <c r="K20" s="47"/>
      <c r="L20" s="48"/>
      <c r="M20" s="47"/>
      <c r="N20" s="49"/>
      <c r="O20" s="50"/>
      <c r="P20" s="51"/>
      <c r="Q20" s="50"/>
      <c r="R20" s="51"/>
      <c r="S20" s="50"/>
      <c r="T20" s="55">
        <f ca="1">SUM(T15:T20)</f>
        <v>3913000</v>
      </c>
    </row>
    <row r="21" spans="4:36" ht="20.100000000000001" customHeight="1">
      <c r="E21" s="54"/>
      <c r="F21" s="54"/>
      <c r="G21" s="54"/>
      <c r="H21" s="56"/>
      <c r="I21" s="56"/>
      <c r="J21" s="56"/>
      <c r="K21" s="56"/>
      <c r="L21" s="56"/>
      <c r="M21" s="56"/>
      <c r="N21" s="56"/>
      <c r="O21" s="56"/>
      <c r="P21" s="56"/>
      <c r="Q21" s="56"/>
      <c r="R21" s="56"/>
      <c r="S21" s="56"/>
    </row>
    <row r="22" spans="4:36" ht="20.100000000000001" customHeight="1">
      <c r="E22" s="54"/>
      <c r="F22" s="54"/>
      <c r="G22" s="54"/>
      <c r="H22" s="54"/>
      <c r="I22" s="54"/>
      <c r="J22" s="54"/>
      <c r="K22" s="54"/>
      <c r="L22" s="54"/>
      <c r="M22" s="54"/>
      <c r="N22" s="54"/>
      <c r="O22" s="54"/>
      <c r="P22" s="54"/>
      <c r="Q22" s="54"/>
      <c r="R22" s="54"/>
      <c r="S22" s="54"/>
      <c r="T22" s="54"/>
    </row>
    <row r="23" spans="4:36" ht="31.35" customHeight="1">
      <c r="D23" s="82" t="str">
        <f ca="1">PROPER(CONCATENATE([1]!terbilang(T20)," Rupiah .-"))</f>
        <v xml:space="preserve"> Tiga Juta Sembilan Ratus Tiga Belas Ribu Rupiah .-</v>
      </c>
      <c r="E23" s="82"/>
      <c r="F23" s="82"/>
      <c r="G23" s="82"/>
      <c r="H23" s="82"/>
      <c r="I23" s="82"/>
      <c r="J23" s="82"/>
      <c r="K23" s="82"/>
      <c r="L23" s="82"/>
      <c r="M23" s="82"/>
      <c r="N23" s="82"/>
      <c r="O23" s="82"/>
      <c r="P23" s="82"/>
      <c r="Q23" s="82"/>
      <c r="R23" s="82"/>
      <c r="S23" s="82"/>
      <c r="T23" s="82"/>
      <c r="U23" s="57"/>
      <c r="V23" s="57"/>
      <c r="W23" s="54"/>
      <c r="X23" s="57"/>
      <c r="Y23" s="57"/>
      <c r="Z23" s="57"/>
      <c r="AA23" s="57"/>
      <c r="AB23" s="57"/>
      <c r="AC23" s="57"/>
      <c r="AD23" s="57"/>
      <c r="AE23" s="57"/>
      <c r="AF23" s="57"/>
      <c r="AG23" s="57"/>
      <c r="AH23" s="57"/>
      <c r="AI23" s="57"/>
      <c r="AJ23" s="57"/>
    </row>
    <row r="24" spans="4:36" ht="3.95" customHeight="1"/>
    <row r="25" spans="4:36" ht="39" customHeight="1">
      <c r="M25" s="83" t="s">
        <v>56</v>
      </c>
      <c r="N25" s="83"/>
      <c r="O25" s="83"/>
      <c r="P25" s="83"/>
      <c r="Q25" s="83"/>
      <c r="R25" s="83"/>
      <c r="S25" s="83"/>
      <c r="T25" s="83"/>
    </row>
    <row r="26" spans="4:36" ht="20.25" customHeight="1"/>
    <row r="27" spans="4:36">
      <c r="F27" s="58"/>
      <c r="G27" s="58"/>
      <c r="H27" s="58"/>
      <c r="I27" s="58"/>
      <c r="J27" s="58"/>
      <c r="K27" s="58"/>
      <c r="L27" s="58"/>
      <c r="M27" s="58"/>
      <c r="N27" s="58"/>
      <c r="O27" s="58"/>
    </row>
    <row r="28" spans="4:36" ht="27" customHeight="1"/>
    <row r="29" spans="4:36">
      <c r="T29" s="78" t="s">
        <v>57</v>
      </c>
      <c r="U29" s="78"/>
      <c r="V29" s="78"/>
    </row>
    <row r="30" spans="4:36" ht="17.25" customHeight="1"/>
    <row r="31" spans="4:36" ht="24.95" customHeight="1"/>
    <row r="32" spans="4:36" ht="15" customHeight="1">
      <c r="J32" s="59"/>
      <c r="M32" s="84" t="s">
        <v>58</v>
      </c>
      <c r="N32" s="84"/>
      <c r="O32" s="84"/>
      <c r="P32" s="84"/>
      <c r="Q32" s="84"/>
      <c r="R32" s="84"/>
      <c r="S32" s="84"/>
      <c r="T32" s="84"/>
      <c r="U32" s="84"/>
      <c r="V32" s="84"/>
      <c r="W32" s="60"/>
    </row>
    <row r="34" spans="6:27" ht="24.95" customHeight="1"/>
    <row r="35" spans="6:27">
      <c r="J35" s="59"/>
      <c r="L35" s="59"/>
      <c r="M35" s="78" t="s">
        <v>59</v>
      </c>
      <c r="N35" s="78"/>
      <c r="O35" s="78"/>
      <c r="P35" s="78"/>
      <c r="Q35" s="78"/>
      <c r="R35" s="78"/>
      <c r="S35" s="78"/>
      <c r="T35" s="78"/>
      <c r="U35" s="78"/>
      <c r="V35" s="78"/>
    </row>
    <row r="36" spans="6:27">
      <c r="J36" s="59"/>
      <c r="L36" s="59"/>
      <c r="M36" s="78" t="s">
        <v>60</v>
      </c>
      <c r="N36" s="78"/>
      <c r="O36" s="78"/>
      <c r="P36" s="78"/>
      <c r="Q36" s="78"/>
      <c r="R36" s="78"/>
      <c r="S36" s="78"/>
      <c r="T36" s="78"/>
      <c r="U36" s="78"/>
      <c r="V36" s="78"/>
    </row>
    <row r="37" spans="6:27" ht="30.75" customHeight="1"/>
    <row r="39" spans="6:27">
      <c r="W39" s="58"/>
      <c r="X39" s="58"/>
      <c r="Y39" s="58"/>
      <c r="Z39" s="58"/>
      <c r="AA39" s="58"/>
    </row>
    <row r="40" spans="6:27">
      <c r="F40" s="58"/>
      <c r="G40" s="58"/>
      <c r="H40" s="58"/>
      <c r="P40" s="58"/>
      <c r="Q40" s="58"/>
      <c r="W40" s="58"/>
      <c r="X40" s="58"/>
      <c r="Y40" s="58"/>
      <c r="Z40" s="58"/>
      <c r="AA40" s="58"/>
    </row>
    <row r="41" spans="6:27">
      <c r="F41" s="58"/>
      <c r="G41" s="58"/>
      <c r="H41" s="58"/>
      <c r="J41" s="58"/>
      <c r="K41" s="58"/>
      <c r="N41" s="58"/>
      <c r="O41" s="58"/>
      <c r="Q41" s="59"/>
      <c r="R41" s="78" t="s">
        <v>61</v>
      </c>
      <c r="S41" s="78"/>
      <c r="T41" s="78"/>
      <c r="U41" s="78"/>
      <c r="V41" s="78"/>
    </row>
    <row r="42" spans="6:27">
      <c r="N42" s="58"/>
      <c r="O42" s="58"/>
      <c r="Q42" s="59"/>
      <c r="R42" s="78" t="s">
        <v>62</v>
      </c>
      <c r="S42" s="78"/>
      <c r="T42" s="78"/>
      <c r="U42" s="78"/>
      <c r="V42" s="78"/>
    </row>
  </sheetData>
  <mergeCells count="12">
    <mergeCell ref="R42:V42"/>
    <mergeCell ref="F8:T8"/>
    <mergeCell ref="F9:T10"/>
    <mergeCell ref="B14:D14"/>
    <mergeCell ref="H14:R14"/>
    <mergeCell ref="D23:T23"/>
    <mergeCell ref="M25:T25"/>
    <mergeCell ref="T29:V29"/>
    <mergeCell ref="M32:V32"/>
    <mergeCell ref="M35:V35"/>
    <mergeCell ref="M36:V36"/>
    <mergeCell ref="R41:V41"/>
  </mergeCells>
  <pageMargins left="0.19685039370078741" right="0" top="0.23622047244094491" bottom="0.98425196850393704" header="0.31496062992125984" footer="0.31496062992125984"/>
  <pageSetup paperSize="5" orientation="portrait" horizontalDpi="120" verticalDpi="7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depan</vt:lpstr>
      <vt:lpstr>Rekap1</vt:lpstr>
      <vt:lpstr>SKPD</vt:lpstr>
      <vt:lpstr>depan!Print_Area</vt:lpstr>
      <vt:lpstr>Rekap1!Print_Area</vt:lpstr>
      <vt:lpstr>SKPD!Print_Area</vt:lpstr>
      <vt:lpstr>Rekap1!Print_Titles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SIUP</cp:lastModifiedBy>
  <cp:lastPrinted>2017-04-05T02:30:59Z</cp:lastPrinted>
  <dcterms:created xsi:type="dcterms:W3CDTF">2011-06-14T02:24:54Z</dcterms:created>
  <dcterms:modified xsi:type="dcterms:W3CDTF">2017-05-30T01:30:06Z</dcterms:modified>
</cp:coreProperties>
</file>